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ira Report" sheetId="1" r:id="rId1"/>
    <sheet name="QA Report" sheetId="2" r:id="rId2"/>
    <sheet name="Metrics Board" sheetId="3" r:id="rId3"/>
    <sheet name="Visual Board" sheetId="4" r:id="rId4"/>
  </sheets>
  <calcPr calcId="124519" fullCalcOnLoad="1"/>
</workbook>
</file>

<file path=xl/sharedStrings.xml><?xml version="1.0" encoding="utf-8"?>
<sst xmlns="http://schemas.openxmlformats.org/spreadsheetml/2006/main" count="522" uniqueCount="129">
  <si>
    <t>Key</t>
  </si>
  <si>
    <t>Environment</t>
  </si>
  <si>
    <t>Summary</t>
  </si>
  <si>
    <t>Priority</t>
  </si>
  <si>
    <t>Issue Type</t>
  </si>
  <si>
    <t>Reporter</t>
  </si>
  <si>
    <t>Assignee</t>
  </si>
  <si>
    <t>Status</t>
  </si>
  <si>
    <t>Created Date</t>
  </si>
  <si>
    <t>Resolution Date</t>
  </si>
  <si>
    <t>Last Status Change</t>
  </si>
  <si>
    <t>Assignee History</t>
  </si>
  <si>
    <t>Duration (HH:MM)</t>
  </si>
  <si>
    <t>Phase Detected</t>
  </si>
  <si>
    <t>Phase Injected</t>
  </si>
  <si>
    <t>MTJ-74</t>
  </si>
  <si>
    <t>MTJ-75</t>
  </si>
  <si>
    <t>MTJ-68</t>
  </si>
  <si>
    <t>MTJ-69</t>
  </si>
  <si>
    <t>MTJ-76</t>
  </si>
  <si>
    <t>MTJ-67</t>
  </si>
  <si>
    <t>MTJ-70</t>
  </si>
  <si>
    <t>MTJ-71</t>
  </si>
  <si>
    <t>MTJ-72</t>
  </si>
  <si>
    <t>MTJ-73</t>
  </si>
  <si>
    <t>MTJ-78</t>
  </si>
  <si>
    <t>MTJ-108</t>
  </si>
  <si>
    <t>UAT</t>
  </si>
  <si>
    <t>QA</t>
  </si>
  <si>
    <t>PROD</t>
  </si>
  <si>
    <t>Defect - Sample 1</t>
  </si>
  <si>
    <t>Defect - Sample 2.1</t>
  </si>
  <si>
    <t>Defect - Sample 2</t>
  </si>
  <si>
    <t>Defect - Sample 3</t>
  </si>
  <si>
    <t>Defect - Sample 4</t>
  </si>
  <si>
    <t>Rates - Sample 5</t>
  </si>
  <si>
    <t>DEV - Sample 5</t>
  </si>
  <si>
    <t>Forms - Sample 5</t>
  </si>
  <si>
    <t>QA - Sample 5</t>
  </si>
  <si>
    <t>Defect - Sample 1.1</t>
  </si>
  <si>
    <t>sample forms</t>
  </si>
  <si>
    <t>Low</t>
  </si>
  <si>
    <t>Medium</t>
  </si>
  <si>
    <t>High</t>
  </si>
  <si>
    <t>Lowest</t>
  </si>
  <si>
    <t>Highest</t>
  </si>
  <si>
    <t>Defect</t>
  </si>
  <si>
    <t>Aravindparamasivam</t>
  </si>
  <si>
    <t>karpagam Balamurugan</t>
  </si>
  <si>
    <t>Unassigned</t>
  </si>
  <si>
    <t>DEV IN PROGRESS</t>
  </si>
  <si>
    <t>IN REVIEW</t>
  </si>
  <si>
    <t>QA IN PROGRESS</t>
  </si>
  <si>
    <t>TO DO</t>
  </si>
  <si>
    <t>DONE</t>
  </si>
  <si>
    <t>2025-12-04 18:58:05</t>
  </si>
  <si>
    <t>2025-12-04 18:58:06</t>
  </si>
  <si>
    <t>2025-12-04 18:58:10</t>
  </si>
  <si>
    <t>2025-12-04 18:58:11</t>
  </si>
  <si>
    <t>2025-12-04 18:58:12</t>
  </si>
  <si>
    <t>2025-12-04 18:58:16</t>
  </si>
  <si>
    <t>2025-12-04 18:58:18</t>
  </si>
  <si>
    <t>2025-12-04 18:58:19</t>
  </si>
  <si>
    <t>2025-12-04 18:58:20</t>
  </si>
  <si>
    <t>2025-12-04 18:58:21</t>
  </si>
  <si>
    <t>2025-12-05 15:26:05</t>
  </si>
  <si>
    <t>2026-01-14 12:39:51</t>
  </si>
  <si>
    <t>2025-12-05 13:46:46</t>
  </si>
  <si>
    <t>2025-12-05 13:47:15</t>
  </si>
  <si>
    <t>2026-01-14 13:22:53</t>
  </si>
  <si>
    <t>2025-12-04 18:58:13</t>
  </si>
  <si>
    <t>2026-01-14 12:39:32</t>
  </si>
  <si>
    <t>No changes</t>
  </si>
  <si>
    <t>Aravindparamasivam → karpagam Balamurugan (2026-01-09 18:01:34)</t>
  </si>
  <si>
    <t>Aravindparamasivam → karpagam Balamurugan (2025-12-05 17:03:16) | karpagam Balamurugan → Aravindparamasivam (2025-12-05 17:03:31) | Aravindparamasivam → karpagam Balamurugan (2025-12-05 17:03:36)</t>
  </si>
  <si>
    <t>None → karpagam Balamurugan (2025-12-05 15:28:01)</t>
  </si>
  <si>
    <t>None → Aravindparamasivam (2026-01-14 12:40:29)</t>
  </si>
  <si>
    <t>00:00</t>
  </si>
  <si>
    <t>18:48</t>
  </si>
  <si>
    <t>00:43</t>
  </si>
  <si>
    <t>Design</t>
  </si>
  <si>
    <t>Code</t>
  </si>
  <si>
    <t>Production</t>
  </si>
  <si>
    <t>Unit Test</t>
  </si>
  <si>
    <t>Requirements</t>
  </si>
  <si>
    <t>Unit test</t>
  </si>
  <si>
    <t>MTJ-52 - Jira Report</t>
  </si>
  <si>
    <t>EPIC Sample ticket 1</t>
  </si>
  <si>
    <t>Project</t>
  </si>
  <si>
    <t>Ticket Status</t>
  </si>
  <si>
    <t>Open Defects</t>
  </si>
  <si>
    <t>Closed Defects</t>
  </si>
  <si>
    <t>Prod Status</t>
  </si>
  <si>
    <t>QA Complete %</t>
  </si>
  <si>
    <t>Notes</t>
  </si>
  <si>
    <t>In Review</t>
  </si>
  <si>
    <t>NA</t>
  </si>
  <si>
    <t>S.No</t>
  </si>
  <si>
    <t>Defect Key</t>
  </si>
  <si>
    <t>Defect Description</t>
  </si>
  <si>
    <t>Defect Leakage Metrics</t>
  </si>
  <si>
    <t>Phase detected</t>
  </si>
  <si>
    <t>Review</t>
  </si>
  <si>
    <t>Testing</t>
  </si>
  <si>
    <t>Implementation</t>
  </si>
  <si>
    <t>Unit testing</t>
  </si>
  <si>
    <t>Total injected</t>
  </si>
  <si>
    <t>Phase injected</t>
  </si>
  <si>
    <t>-</t>
  </si>
  <si>
    <t>Total Number of defects found and removed in phase</t>
  </si>
  <si>
    <t>Reviews</t>
  </si>
  <si>
    <t>Pre-production</t>
  </si>
  <si>
    <t>Post-production</t>
  </si>
  <si>
    <t>Phases</t>
  </si>
  <si>
    <t>Activities</t>
  </si>
  <si>
    <t>BRD Reviews, BRD Updates, Requirement Analysis</t>
  </si>
  <si>
    <t>Source table structure designs, Forms</t>
  </si>
  <si>
    <t>Code, Data load, API, Portal, CMS, Integration</t>
  </si>
  <si>
    <t>Backend Validations</t>
  </si>
  <si>
    <t>Test plan, Test data, Test cases.</t>
  </si>
  <si>
    <t>Test plan, Test data, Test cases, AM test scenarios</t>
  </si>
  <si>
    <t>Data validations, High level functionality validations</t>
  </si>
  <si>
    <t>Count</t>
  </si>
  <si>
    <t>Minimum</t>
  </si>
  <si>
    <t>Maximum</t>
  </si>
  <si>
    <t>Average</t>
  </si>
  <si>
    <t>Closed</t>
  </si>
  <si>
    <t>Open</t>
  </si>
  <si>
    <t>Total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</si>
</sst>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CBF9F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545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F8CECC"/>
        <bgColor indexed="64"/>
      </patternFill>
    </fill>
    <fill>
      <patternFill patternType="solid">
        <fgColor rgb="FF8FAA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top"/>
    </xf>
    <xf numFmtId="0" fontId="3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textRotation="90"/>
    </xf>
    <xf numFmtId="0" fontId="2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0" xfId="0"/>
    <xf numFmtId="1" fontId="0" fillId="0" borderId="0" xfId="0" applyNumberFormat="1"/>
    <xf numFmtId="0" fontId="0" fillId="8" borderId="0" xfId="0" applyFill="1"/>
    <xf numFmtId="0" fontId="2" fillId="0" borderId="0" xfId="0" applyFont="1"/>
  </cellXfs>
  <cellStyles count="1">
    <cellStyle name="Normal" xfId="0" builtinId="0"/>
  </cellStyles>
  <dxfs count="2">
    <dxf>
      <font>
        <b/>
      </font>
      <fill>
        <patternFill>
          <bgColor rgb="FFD5E8D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</font>
      <fill>
        <patternFill>
          <bgColor rgb="FFFFB6C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Defect detected in Review vs testing phase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Defects detected in Reviews vs Testing</c:v>
          </c:tx>
          <c:dPt>
            <c:idx val="0"/>
            <c:spPr>
              <a:solidFill>
                <a:srgbClr val="6B8E23"/>
              </a:solidFill>
            </c:spPr>
          </c:dPt>
          <c:dPt>
            <c:idx val="1"/>
            <c:spPr>
              <a:solidFill>
                <a:srgbClr val="C93435"/>
              </a:solidFill>
            </c:spPr>
          </c:dPt>
          <c:dLbls>
            <c:showPercent val="1"/>
          </c:dLbls>
          <c:cat>
            <c:strRef>
              <c:f>'Metrics Board'!$F$201:$F$202</c:f>
              <c:strCache>
                <c:ptCount val="2"/>
                <c:pt idx="0">
                  <c:v>Reviews</c:v>
                </c:pt>
                <c:pt idx="1">
                  <c:v>Testing</c:v>
                </c:pt>
              </c:strCache>
            </c:strRef>
          </c:cat>
          <c:val>
            <c:numRef>
              <c:f>'Metrics Board'!$G$201:$G$202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 sz="9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100" b="1" baseline="0"/>
            </a:pPr>
            <a:r>
              <a:rPr lang="en-US" sz="1100" b="1" baseline="0"/>
              <a:t>Defect detected in Pre vs post production testing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Defects detected in Pre vs post production testing</c:v>
          </c:tx>
          <c:dPt>
            <c:idx val="0"/>
            <c:spPr>
              <a:solidFill>
                <a:srgbClr val="6B8E23"/>
              </a:solidFill>
            </c:spPr>
          </c:dPt>
          <c:dPt>
            <c:idx val="1"/>
            <c:spPr>
              <a:solidFill>
                <a:srgbClr val="C93435"/>
              </a:solidFill>
            </c:spPr>
          </c:dPt>
          <c:dLbls>
            <c:showPercent val="1"/>
          </c:dLbls>
          <c:cat>
            <c:strRef>
              <c:f>'Metrics Board'!$I$201:$I$202</c:f>
              <c:strCache>
                <c:ptCount val="2"/>
                <c:pt idx="0">
                  <c:v>Pre-production</c:v>
                </c:pt>
                <c:pt idx="1">
                  <c:v>Post-production</c:v>
                </c:pt>
              </c:strCache>
            </c:strRef>
          </c:cat>
          <c:val>
            <c:numRef>
              <c:f>'Metrics Board'!$J$201:$J$202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 sz="9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Phase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Defect Status</c:v>
          </c:tx>
          <c:dLbls>
            <c:showVal val="1"/>
          </c:dLbls>
          <c:cat>
            <c:strRef>
              <c:f>'Visual Board'!$A$101:$A$105</c:f>
              <c:strCache>
                <c:ptCount val="5"/>
                <c:pt idx="0">
                  <c:v>DEV IN PROGRESS</c:v>
                </c:pt>
                <c:pt idx="1">
                  <c:v>DONE</c:v>
                </c:pt>
                <c:pt idx="2">
                  <c:v>IN REVIEW</c:v>
                </c:pt>
                <c:pt idx="3">
                  <c:v>QA IN PROGRESS</c:v>
                </c:pt>
                <c:pt idx="4">
                  <c:v>TO DO</c:v>
                </c:pt>
              </c:strCache>
            </c:strRef>
          </c:cat>
          <c:val>
            <c:numRef>
              <c:f>'Visual Board'!$B$101:$B$105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Priority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Priority Distribution</c:v>
          </c:tx>
          <c:dLbls>
            <c:showVal val="1"/>
          </c:dLbls>
          <c:cat>
            <c:strRef>
              <c:f>'Visual Board'!$D$101:$D$105</c:f>
              <c:strCache>
                <c:ptCount val="5"/>
                <c:pt idx="0">
                  <c:v>Medium</c:v>
                </c:pt>
                <c:pt idx="1">
                  <c:v>High</c:v>
                </c:pt>
                <c:pt idx="2">
                  <c:v>Low</c:v>
                </c:pt>
                <c:pt idx="3">
                  <c:v>Lowest</c:v>
                </c:pt>
                <c:pt idx="4">
                  <c:v>Highest</c:v>
                </c:pt>
              </c:strCache>
            </c:strRef>
          </c:cat>
          <c:val>
            <c:numRef>
              <c:f>'Visual Board'!$E$101:$E$105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Priority Level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Environment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Environment Analysis</c:v>
          </c:tx>
          <c:dLbls>
            <c:showVal val="1"/>
          </c:dLbls>
          <c:cat>
            <c:strRef>
              <c:f>'Visual Board'!$G$101:$G$103</c:f>
              <c:strCache>
                <c:ptCount val="3"/>
                <c:pt idx="0">
                  <c:v>UAT</c:v>
                </c:pt>
                <c:pt idx="1">
                  <c:v>QA</c:v>
                </c:pt>
                <c:pt idx="2">
                  <c:v>PROD</c:v>
                </c:pt>
              </c:strCache>
            </c:strRef>
          </c:cat>
          <c:val>
            <c:numRef>
              <c:f>'Visual Board'!$H$101:$H$103</c:f>
              <c:numCache>
                <c:formatCode>General</c:formatCode>
                <c:ptCount val="3"/>
                <c:pt idx="0">
                  <c:v>5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Assignee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Assignee Workload</c:v>
          </c:tx>
          <c:dLbls>
            <c:showVal val="1"/>
          </c:dLbls>
          <c:cat>
            <c:strRef>
              <c:f>'Visual Board'!$J$101:$J$103</c:f>
              <c:strCache>
                <c:ptCount val="3"/>
                <c:pt idx="0">
                  <c:v>karpagam Balamurugan</c:v>
                </c:pt>
                <c:pt idx="1">
                  <c:v>Aravindparamasivam</c:v>
                </c:pt>
                <c:pt idx="2">
                  <c:v>Unassigned</c:v>
                </c:pt>
              </c:strCache>
            </c:strRef>
          </c:cat>
          <c:val>
            <c:numRef>
              <c:f>'Visual Board'!$K$101:$K$103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Time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Time Metrics</c:v>
          </c:tx>
          <c:dLbls>
            <c:numFmt formatCode="0.0" sourceLinked="0"/>
            <c:showVal val="1"/>
          </c:dLbls>
          <c:cat>
            <c:strRef>
              <c:f>'Visual Board'!$R$121:$R$123</c:f>
              <c:strCache>
                <c:ptCount val="3"/>
                <c:pt idx="0">
                  <c:v>Minimum</c:v>
                </c:pt>
                <c:pt idx="1">
                  <c:v>Maximum</c:v>
                </c:pt>
                <c:pt idx="2">
                  <c:v>Average</c:v>
                </c:pt>
              </c:strCache>
            </c:strRef>
          </c:cat>
          <c:val>
            <c:numRef>
              <c:f>'Visual Board'!$S$121:$S$123</c:f>
              <c:numCache>
                <c:formatCode>General</c:formatCode>
                <c:ptCount val="3"/>
                <c:pt idx="0">
                  <c:v>0.7</c:v>
                </c:pt>
                <c:pt idx="1">
                  <c:v>18.8</c:v>
                </c:pt>
                <c:pt idx="2">
                  <c:v>12.8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Resolution time</a:t>
                </a:r>
              </a:p>
            </c:rich>
          </c:tx>
          <c:layout/>
        </c:title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Hours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Status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Overall Statistics</c:v>
          </c:tx>
          <c:dLbls>
            <c:numFmt formatCode="0.0" sourceLinked="0"/>
            <c:showVal val="1"/>
          </c:dLbls>
          <c:cat>
            <c:strRef>
              <c:f>'Visual Board'!$U$131:$U$133</c:f>
              <c:strCache>
                <c:ptCount val="3"/>
                <c:pt idx="0">
                  <c:v>Closed</c:v>
                </c:pt>
                <c:pt idx="1">
                  <c:v>Open</c:v>
                </c:pt>
                <c:pt idx="2">
                  <c:v>Total</c:v>
                </c:pt>
              </c:strCache>
            </c:strRef>
          </c:cat>
          <c:val>
            <c:numRef>
              <c:f>'Visual Board'!$V$131:$V$133</c:f>
              <c:numCache>
                <c:formatCode>General</c:formatCode>
                <c:ptCount val="3"/>
                <c:pt idx="0">
                  <c:v>3</c:v>
                </c:pt>
                <c:pt idx="1">
                  <c:v>9</c:v>
                </c:pt>
                <c:pt idx="2">
                  <c:v>12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Defect Types</a:t>
                </a:r>
              </a:p>
            </c:rich>
          </c:tx>
          <c:layout/>
        </c:title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Relationship Id="rId6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</xdr:row>
      <xdr:rowOff>0</xdr:rowOff>
    </xdr:from>
    <xdr:to>
      <xdr:col>5</xdr:col>
      <xdr:colOff>238125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14</xdr:row>
      <xdr:rowOff>0</xdr:rowOff>
    </xdr:from>
    <xdr:to>
      <xdr:col>9</xdr:col>
      <xdr:colOff>504825</xdr:colOff>
      <xdr:row>26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457200</xdr:colOff>
      <xdr:row>12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0</xdr:row>
      <xdr:rowOff>0</xdr:rowOff>
    </xdr:from>
    <xdr:to>
      <xdr:col>13</xdr:col>
      <xdr:colOff>457200</xdr:colOff>
      <xdr:row>12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6</xdr:col>
      <xdr:colOff>457200</xdr:colOff>
      <xdr:row>26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13</xdr:col>
      <xdr:colOff>457200</xdr:colOff>
      <xdr:row>26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20</xdr:col>
      <xdr:colOff>457200</xdr:colOff>
      <xdr:row>12</xdr:row>
      <xdr:rowOff>114300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14</xdr:row>
      <xdr:rowOff>0</xdr:rowOff>
    </xdr:from>
    <xdr:to>
      <xdr:col>20</xdr:col>
      <xdr:colOff>457200</xdr:colOff>
      <xdr:row>26</xdr:row>
      <xdr:rowOff>114300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cols>
    <col min="1" max="1" width="9.7109375" customWidth="1"/>
    <col min="2" max="2" width="13.7109375" customWidth="1"/>
    <col min="3" max="3" width="21.7109375" customWidth="1"/>
    <col min="4" max="4" width="10.7109375" customWidth="1"/>
    <col min="5" max="5" width="12.7109375" customWidth="1"/>
    <col min="6" max="7" width="22.7109375" customWidth="1"/>
    <col min="8" max="8" width="17.7109375" customWidth="1"/>
    <col min="9" max="11" width="21.7109375" customWidth="1"/>
    <col min="12" max="12" width="197.7109375" customWidth="1"/>
    <col min="13" max="13" width="18.7109375" customWidth="1"/>
    <col min="14" max="15" width="16.7109375" customWidth="1"/>
  </cols>
  <sheetData>
    <row r="1" spans="1:15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2" t="s">
        <v>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1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</row>
    <row r="5" spans="1:15">
      <c r="A5" s="4" t="s">
        <v>15</v>
      </c>
      <c r="B5" s="4" t="s">
        <v>27</v>
      </c>
      <c r="C5" s="5" t="s">
        <v>30</v>
      </c>
      <c r="D5" s="4" t="s">
        <v>41</v>
      </c>
      <c r="E5" s="4" t="s">
        <v>46</v>
      </c>
      <c r="F5" s="4" t="s">
        <v>47</v>
      </c>
      <c r="G5" s="4" t="s">
        <v>47</v>
      </c>
      <c r="H5" s="6" t="s">
        <v>50</v>
      </c>
      <c r="I5" s="4" t="s">
        <v>55</v>
      </c>
      <c r="J5" s="4"/>
      <c r="K5" s="4" t="s">
        <v>55</v>
      </c>
      <c r="L5" s="5" t="s">
        <v>72</v>
      </c>
      <c r="M5" s="4" t="s">
        <v>77</v>
      </c>
      <c r="N5" s="5" t="s">
        <v>80</v>
      </c>
      <c r="O5" s="5" t="s">
        <v>80</v>
      </c>
    </row>
    <row r="6" spans="1:15">
      <c r="A6" s="4" t="s">
        <v>16</v>
      </c>
      <c r="B6" s="4" t="s">
        <v>27</v>
      </c>
      <c r="C6" s="5" t="s">
        <v>31</v>
      </c>
      <c r="D6" s="4" t="s">
        <v>42</v>
      </c>
      <c r="E6" s="4" t="s">
        <v>46</v>
      </c>
      <c r="F6" s="4" t="s">
        <v>47</v>
      </c>
      <c r="G6" s="4" t="s">
        <v>48</v>
      </c>
      <c r="H6" s="6" t="s">
        <v>51</v>
      </c>
      <c r="I6" s="4" t="s">
        <v>56</v>
      </c>
      <c r="J6" s="4"/>
      <c r="K6" s="4" t="s">
        <v>56</v>
      </c>
      <c r="L6" s="5" t="s">
        <v>72</v>
      </c>
      <c r="M6" s="4" t="s">
        <v>77</v>
      </c>
      <c r="N6" s="5" t="s">
        <v>81</v>
      </c>
      <c r="O6" s="5" t="s">
        <v>81</v>
      </c>
    </row>
    <row r="7" spans="1:15">
      <c r="A7" s="4" t="s">
        <v>17</v>
      </c>
      <c r="B7" s="4" t="s">
        <v>28</v>
      </c>
      <c r="C7" s="5" t="s">
        <v>32</v>
      </c>
      <c r="D7" s="4" t="s">
        <v>43</v>
      </c>
      <c r="E7" s="4" t="s">
        <v>46</v>
      </c>
      <c r="F7" s="4" t="s">
        <v>48</v>
      </c>
      <c r="G7" s="4" t="s">
        <v>47</v>
      </c>
      <c r="H7" s="6" t="s">
        <v>52</v>
      </c>
      <c r="I7" s="4" t="s">
        <v>57</v>
      </c>
      <c r="J7" s="4"/>
      <c r="K7" s="4" t="s">
        <v>57</v>
      </c>
      <c r="L7" s="5" t="s">
        <v>72</v>
      </c>
      <c r="M7" s="4" t="s">
        <v>77</v>
      </c>
      <c r="N7" s="5" t="s">
        <v>27</v>
      </c>
      <c r="O7" s="5" t="s">
        <v>27</v>
      </c>
    </row>
    <row r="8" spans="1:15">
      <c r="A8" s="4" t="s">
        <v>18</v>
      </c>
      <c r="B8" s="4" t="s">
        <v>28</v>
      </c>
      <c r="C8" s="5" t="s">
        <v>32</v>
      </c>
      <c r="D8" s="4" t="s">
        <v>42</v>
      </c>
      <c r="E8" s="4" t="s">
        <v>46</v>
      </c>
      <c r="F8" s="4" t="s">
        <v>48</v>
      </c>
      <c r="G8" s="4" t="s">
        <v>48</v>
      </c>
      <c r="H8" s="6" t="s">
        <v>52</v>
      </c>
      <c r="I8" s="4" t="s">
        <v>58</v>
      </c>
      <c r="J8" s="4"/>
      <c r="K8" s="4" t="s">
        <v>58</v>
      </c>
      <c r="L8" s="5" t="s">
        <v>72</v>
      </c>
      <c r="M8" s="4" t="s">
        <v>77</v>
      </c>
      <c r="N8" s="5" t="s">
        <v>82</v>
      </c>
      <c r="O8" s="5" t="s">
        <v>82</v>
      </c>
    </row>
    <row r="9" spans="1:15">
      <c r="A9" s="4" t="s">
        <v>19</v>
      </c>
      <c r="B9" s="4" t="s">
        <v>29</v>
      </c>
      <c r="C9" s="5" t="s">
        <v>33</v>
      </c>
      <c r="D9" s="4" t="s">
        <v>42</v>
      </c>
      <c r="E9" s="4" t="s">
        <v>46</v>
      </c>
      <c r="F9" s="4" t="s">
        <v>47</v>
      </c>
      <c r="G9" s="4" t="s">
        <v>47</v>
      </c>
      <c r="H9" s="7" t="s">
        <v>53</v>
      </c>
      <c r="I9" s="4" t="s">
        <v>59</v>
      </c>
      <c r="J9" s="4"/>
      <c r="K9" s="4" t="s">
        <v>70</v>
      </c>
      <c r="L9" s="5" t="s">
        <v>72</v>
      </c>
      <c r="M9" s="4" t="s">
        <v>77</v>
      </c>
      <c r="N9" s="5" t="s">
        <v>83</v>
      </c>
      <c r="O9" s="5" t="s">
        <v>85</v>
      </c>
    </row>
    <row r="10" spans="1:15">
      <c r="A10" s="4" t="s">
        <v>20</v>
      </c>
      <c r="B10" s="4" t="s">
        <v>27</v>
      </c>
      <c r="C10" s="5" t="s">
        <v>34</v>
      </c>
      <c r="D10" s="4" t="s">
        <v>43</v>
      </c>
      <c r="E10" s="4" t="s">
        <v>46</v>
      </c>
      <c r="F10" s="4" t="s">
        <v>48</v>
      </c>
      <c r="G10" s="4" t="s">
        <v>48</v>
      </c>
      <c r="H10" s="7" t="s">
        <v>53</v>
      </c>
      <c r="I10" s="4" t="s">
        <v>60</v>
      </c>
      <c r="J10" s="4"/>
      <c r="K10" s="4" t="s">
        <v>60</v>
      </c>
      <c r="L10" s="5" t="s">
        <v>73</v>
      </c>
      <c r="M10" s="4" t="s">
        <v>77</v>
      </c>
      <c r="N10" s="5" t="s">
        <v>28</v>
      </c>
      <c r="O10" s="5" t="s">
        <v>84</v>
      </c>
    </row>
    <row r="11" spans="1:15">
      <c r="A11" s="4" t="s">
        <v>21</v>
      </c>
      <c r="B11" s="4" t="s">
        <v>28</v>
      </c>
      <c r="C11" s="5" t="s">
        <v>35</v>
      </c>
      <c r="D11" s="4" t="s">
        <v>44</v>
      </c>
      <c r="E11" s="4" t="s">
        <v>46</v>
      </c>
      <c r="F11" s="4" t="s">
        <v>48</v>
      </c>
      <c r="G11" s="4" t="s">
        <v>49</v>
      </c>
      <c r="H11" s="7" t="s">
        <v>53</v>
      </c>
      <c r="I11" s="4" t="s">
        <v>61</v>
      </c>
      <c r="J11" s="4"/>
      <c r="K11" s="4" t="s">
        <v>61</v>
      </c>
      <c r="L11" s="5" t="s">
        <v>72</v>
      </c>
      <c r="M11" s="4" t="s">
        <v>77</v>
      </c>
      <c r="N11" s="5" t="s">
        <v>28</v>
      </c>
      <c r="O11" s="5" t="s">
        <v>28</v>
      </c>
    </row>
    <row r="12" spans="1:15">
      <c r="A12" s="4" t="s">
        <v>22</v>
      </c>
      <c r="B12" s="4" t="s">
        <v>27</v>
      </c>
      <c r="C12" s="5" t="s">
        <v>36</v>
      </c>
      <c r="D12" s="4" t="s">
        <v>41</v>
      </c>
      <c r="E12" s="4" t="s">
        <v>46</v>
      </c>
      <c r="F12" s="4" t="s">
        <v>48</v>
      </c>
      <c r="G12" s="4" t="s">
        <v>48</v>
      </c>
      <c r="H12" s="8" t="s">
        <v>54</v>
      </c>
      <c r="I12" s="4" t="s">
        <v>62</v>
      </c>
      <c r="J12" s="4" t="s">
        <v>67</v>
      </c>
      <c r="K12" s="4" t="s">
        <v>67</v>
      </c>
      <c r="L12" s="5" t="s">
        <v>72</v>
      </c>
      <c r="M12" s="4" t="s">
        <v>78</v>
      </c>
      <c r="N12" s="5" t="s">
        <v>27</v>
      </c>
      <c r="O12" s="5" t="s">
        <v>28</v>
      </c>
    </row>
    <row r="13" spans="1:15">
      <c r="A13" s="4" t="s">
        <v>23</v>
      </c>
      <c r="B13" s="4" t="s">
        <v>27</v>
      </c>
      <c r="C13" s="5" t="s">
        <v>37</v>
      </c>
      <c r="D13" s="4" t="s">
        <v>42</v>
      </c>
      <c r="E13" s="4" t="s">
        <v>46</v>
      </c>
      <c r="F13" s="4" t="s">
        <v>48</v>
      </c>
      <c r="G13" s="4" t="s">
        <v>49</v>
      </c>
      <c r="H13" s="6" t="s">
        <v>52</v>
      </c>
      <c r="I13" s="4" t="s">
        <v>63</v>
      </c>
      <c r="J13" s="4"/>
      <c r="K13" s="4" t="s">
        <v>63</v>
      </c>
      <c r="L13" s="5" t="s">
        <v>72</v>
      </c>
      <c r="M13" s="4" t="s">
        <v>77</v>
      </c>
      <c r="N13" s="5" t="s">
        <v>84</v>
      </c>
      <c r="O13" s="5" t="s">
        <v>84</v>
      </c>
    </row>
    <row r="14" spans="1:15">
      <c r="A14" s="4" t="s">
        <v>24</v>
      </c>
      <c r="B14" s="4" t="s">
        <v>28</v>
      </c>
      <c r="C14" s="5" t="s">
        <v>38</v>
      </c>
      <c r="D14" s="4" t="s">
        <v>45</v>
      </c>
      <c r="E14" s="4" t="s">
        <v>46</v>
      </c>
      <c r="F14" s="4" t="s">
        <v>47</v>
      </c>
      <c r="G14" s="4" t="s">
        <v>48</v>
      </c>
      <c r="H14" s="8" t="s">
        <v>54</v>
      </c>
      <c r="I14" s="4" t="s">
        <v>64</v>
      </c>
      <c r="J14" s="4" t="s">
        <v>68</v>
      </c>
      <c r="K14" s="4" t="s">
        <v>68</v>
      </c>
      <c r="L14" s="5" t="s">
        <v>74</v>
      </c>
      <c r="M14" s="4" t="s">
        <v>78</v>
      </c>
      <c r="N14" s="5" t="s">
        <v>80</v>
      </c>
      <c r="O14" s="5" t="s">
        <v>80</v>
      </c>
    </row>
    <row r="15" spans="1:15">
      <c r="A15" s="4" t="s">
        <v>25</v>
      </c>
      <c r="B15" s="4" t="s">
        <v>29</v>
      </c>
      <c r="C15" s="5" t="s">
        <v>39</v>
      </c>
      <c r="D15" s="4" t="s">
        <v>43</v>
      </c>
      <c r="E15" s="4" t="s">
        <v>46</v>
      </c>
      <c r="F15" s="4" t="s">
        <v>48</v>
      </c>
      <c r="G15" s="4" t="s">
        <v>48</v>
      </c>
      <c r="H15" s="6" t="s">
        <v>52</v>
      </c>
      <c r="I15" s="4" t="s">
        <v>65</v>
      </c>
      <c r="J15" s="4"/>
      <c r="K15" s="4" t="s">
        <v>71</v>
      </c>
      <c r="L15" s="5" t="s">
        <v>75</v>
      </c>
      <c r="M15" s="4" t="s">
        <v>77</v>
      </c>
      <c r="N15" s="5" t="s">
        <v>28</v>
      </c>
      <c r="O15" s="5" t="s">
        <v>80</v>
      </c>
    </row>
    <row r="16" spans="1:15">
      <c r="A16" s="4" t="s">
        <v>26</v>
      </c>
      <c r="B16" s="4" t="s">
        <v>28</v>
      </c>
      <c r="C16" s="5" t="s">
        <v>40</v>
      </c>
      <c r="D16" s="4" t="s">
        <v>42</v>
      </c>
      <c r="E16" s="4" t="s">
        <v>46</v>
      </c>
      <c r="F16" s="4" t="s">
        <v>47</v>
      </c>
      <c r="G16" s="4" t="s">
        <v>47</v>
      </c>
      <c r="H16" s="8" t="s">
        <v>54</v>
      </c>
      <c r="I16" s="4" t="s">
        <v>66</v>
      </c>
      <c r="J16" s="4" t="s">
        <v>69</v>
      </c>
      <c r="K16" s="4" t="s">
        <v>69</v>
      </c>
      <c r="L16" s="5" t="s">
        <v>76</v>
      </c>
      <c r="M16" s="4" t="s">
        <v>79</v>
      </c>
      <c r="N16" s="5" t="s">
        <v>27</v>
      </c>
      <c r="O16" s="5" t="s">
        <v>28</v>
      </c>
    </row>
  </sheetData>
  <mergeCells count="2">
    <mergeCell ref="A1:O1"/>
    <mergeCell ref="A2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cols>
    <col min="1" max="1" width="6.7109375" customWidth="1"/>
    <col min="2" max="2" width="12.7109375" customWidth="1"/>
    <col min="3" max="3" width="21.7109375" customWidth="1"/>
    <col min="4" max="4" width="17.7109375" customWidth="1"/>
    <col min="6" max="6" width="22.7109375" customWidth="1"/>
    <col min="7" max="7" width="15.7109375" customWidth="1"/>
    <col min="8" max="8" width="14.7109375" customWidth="1"/>
    <col min="9" max="9" width="16.7109375" customWidth="1"/>
    <col min="10" max="10" width="13.7109375" customWidth="1"/>
    <col min="11" max="11" width="15.7109375" customWidth="1"/>
    <col min="12" max="12" width="12.7109375" customWidth="1"/>
  </cols>
  <sheetData>
    <row r="1" spans="1:12">
      <c r="A1" s="9" t="s">
        <v>97</v>
      </c>
      <c r="B1" s="9" t="s">
        <v>98</v>
      </c>
      <c r="C1" s="9" t="s">
        <v>99</v>
      </c>
      <c r="D1" s="9" t="s">
        <v>7</v>
      </c>
      <c r="F1" s="10" t="s">
        <v>88</v>
      </c>
      <c r="G1" s="10" t="s">
        <v>89</v>
      </c>
      <c r="H1" s="10" t="s">
        <v>90</v>
      </c>
      <c r="I1" s="10" t="s">
        <v>91</v>
      </c>
      <c r="J1" s="10" t="s">
        <v>92</v>
      </c>
      <c r="K1" s="10" t="s">
        <v>93</v>
      </c>
      <c r="L1" s="10" t="s">
        <v>94</v>
      </c>
    </row>
    <row r="2" spans="1:12">
      <c r="A2" s="4">
        <v>1</v>
      </c>
      <c r="B2" s="4" t="s">
        <v>15</v>
      </c>
      <c r="C2" s="11" t="s">
        <v>30</v>
      </c>
      <c r="D2" s="6" t="s">
        <v>50</v>
      </c>
      <c r="F2" s="12" t="s">
        <v>87</v>
      </c>
      <c r="G2" s="12" t="s">
        <v>95</v>
      </c>
      <c r="H2" s="12">
        <v>9</v>
      </c>
      <c r="I2" s="12">
        <v>3</v>
      </c>
      <c r="J2" s="12" t="s">
        <v>96</v>
      </c>
      <c r="K2" s="12"/>
      <c r="L2" s="12"/>
    </row>
    <row r="3" spans="1:12">
      <c r="A3" s="4">
        <v>2</v>
      </c>
      <c r="B3" s="4" t="s">
        <v>16</v>
      </c>
      <c r="C3" s="11" t="s">
        <v>31</v>
      </c>
      <c r="D3" s="6" t="s">
        <v>51</v>
      </c>
    </row>
    <row r="4" spans="1:12">
      <c r="A4" s="4">
        <v>3</v>
      </c>
      <c r="B4" s="4" t="s">
        <v>17</v>
      </c>
      <c r="C4" s="11" t="s">
        <v>32</v>
      </c>
      <c r="D4" s="6" t="s">
        <v>52</v>
      </c>
    </row>
    <row r="5" spans="1:12">
      <c r="A5" s="4">
        <v>4</v>
      </c>
      <c r="B5" s="4" t="s">
        <v>18</v>
      </c>
      <c r="C5" s="11" t="s">
        <v>32</v>
      </c>
      <c r="D5" s="6" t="s">
        <v>52</v>
      </c>
    </row>
    <row r="6" spans="1:12">
      <c r="A6" s="4">
        <v>5</v>
      </c>
      <c r="B6" s="4" t="s">
        <v>19</v>
      </c>
      <c r="C6" s="11" t="s">
        <v>33</v>
      </c>
      <c r="D6" s="7" t="s">
        <v>53</v>
      </c>
    </row>
    <row r="7" spans="1:12">
      <c r="A7" s="4">
        <v>6</v>
      </c>
      <c r="B7" s="4" t="s">
        <v>20</v>
      </c>
      <c r="C7" s="11" t="s">
        <v>34</v>
      </c>
      <c r="D7" s="7" t="s">
        <v>53</v>
      </c>
    </row>
    <row r="8" spans="1:12">
      <c r="A8" s="4">
        <v>7</v>
      </c>
      <c r="B8" s="4" t="s">
        <v>21</v>
      </c>
      <c r="C8" s="11" t="s">
        <v>35</v>
      </c>
      <c r="D8" s="7" t="s">
        <v>53</v>
      </c>
    </row>
    <row r="9" spans="1:12">
      <c r="A9" s="4">
        <v>8</v>
      </c>
      <c r="B9" s="4" t="s">
        <v>22</v>
      </c>
      <c r="C9" s="11" t="s">
        <v>36</v>
      </c>
      <c r="D9" s="8" t="s">
        <v>54</v>
      </c>
    </row>
    <row r="10" spans="1:12">
      <c r="A10" s="4">
        <v>9</v>
      </c>
      <c r="B10" s="4" t="s">
        <v>23</v>
      </c>
      <c r="C10" s="11" t="s">
        <v>37</v>
      </c>
      <c r="D10" s="6" t="s">
        <v>52</v>
      </c>
    </row>
    <row r="11" spans="1:12">
      <c r="A11" s="4">
        <v>10</v>
      </c>
      <c r="B11" s="4" t="s">
        <v>24</v>
      </c>
      <c r="C11" s="11" t="s">
        <v>38</v>
      </c>
      <c r="D11" s="8" t="s">
        <v>54</v>
      </c>
    </row>
    <row r="12" spans="1:12">
      <c r="A12" s="4">
        <v>11</v>
      </c>
      <c r="B12" s="4" t="s">
        <v>25</v>
      </c>
      <c r="C12" s="11" t="s">
        <v>39</v>
      </c>
      <c r="D12" s="6" t="s">
        <v>52</v>
      </c>
    </row>
    <row r="13" spans="1:12">
      <c r="A13" s="4">
        <v>12</v>
      </c>
      <c r="B13" s="4" t="s">
        <v>26</v>
      </c>
      <c r="C13" s="11" t="s">
        <v>40</v>
      </c>
      <c r="D13" s="8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O202"/>
  <sheetViews>
    <sheetView workbookViewId="0"/>
  </sheetViews>
  <sheetFormatPr defaultRowHeight="15"/>
  <cols>
    <col min="1" max="1" width="5.7109375" customWidth="1"/>
    <col min="2" max="2" width="22.7109375" customWidth="1"/>
    <col min="3" max="3" width="14.7109375" customWidth="1"/>
    <col min="4" max="4" width="12.7109375" customWidth="1"/>
    <col min="5" max="5" width="14.7109375" customWidth="1"/>
    <col min="6" max="9" width="12.7109375" customWidth="1"/>
    <col min="10" max="10" width="13.7109375" customWidth="1"/>
    <col min="12" max="15" width="14.7109375" customWidth="1"/>
  </cols>
  <sheetData>
    <row r="3" spans="1:15">
      <c r="A3" s="13" t="s">
        <v>100</v>
      </c>
      <c r="B3" s="13"/>
      <c r="C3" s="14" t="s">
        <v>101</v>
      </c>
      <c r="D3" s="14"/>
      <c r="E3" s="14"/>
      <c r="F3" s="14"/>
      <c r="G3" s="14"/>
      <c r="H3" s="14"/>
      <c r="I3" s="14"/>
      <c r="J3" s="15" t="s">
        <v>106</v>
      </c>
    </row>
    <row r="4" spans="1:15">
      <c r="A4" s="13"/>
      <c r="B4" s="13"/>
      <c r="C4" s="16" t="s">
        <v>102</v>
      </c>
      <c r="D4" s="16"/>
      <c r="E4" s="16"/>
      <c r="F4" s="17" t="s">
        <v>103</v>
      </c>
      <c r="G4" s="17"/>
      <c r="H4" s="17"/>
      <c r="I4" s="17"/>
      <c r="J4" s="15"/>
    </row>
    <row r="5" spans="1:15">
      <c r="A5" s="13"/>
      <c r="B5" s="13"/>
      <c r="C5" s="18" t="s">
        <v>84</v>
      </c>
      <c r="D5" s="18" t="s">
        <v>80</v>
      </c>
      <c r="E5" s="18" t="s">
        <v>104</v>
      </c>
      <c r="F5" s="18" t="s">
        <v>105</v>
      </c>
      <c r="G5" s="18" t="s">
        <v>28</v>
      </c>
      <c r="H5" s="18" t="s">
        <v>27</v>
      </c>
      <c r="I5" s="18" t="s">
        <v>82</v>
      </c>
      <c r="J5" s="19">
        <f>SUM(C5:I5)</f>
        <v>0</v>
      </c>
      <c r="L5" s="20" t="s">
        <v>113</v>
      </c>
      <c r="M5" s="20" t="s">
        <v>114</v>
      </c>
      <c r="N5" s="20"/>
      <c r="O5" s="20"/>
    </row>
    <row r="6" spans="1:15">
      <c r="A6" s="21" t="s">
        <v>107</v>
      </c>
      <c r="B6" s="18" t="s">
        <v>84</v>
      </c>
      <c r="C6" s="4">
        <v>1</v>
      </c>
      <c r="D6" s="4" t="s">
        <v>108</v>
      </c>
      <c r="E6" s="4" t="s">
        <v>108</v>
      </c>
      <c r="F6" s="4" t="s">
        <v>108</v>
      </c>
      <c r="G6" s="4">
        <v>1</v>
      </c>
      <c r="H6" s="4" t="s">
        <v>108</v>
      </c>
      <c r="I6" s="4" t="s">
        <v>108</v>
      </c>
      <c r="J6" s="19">
        <f>SUM(C6:I6)</f>
        <v>0</v>
      </c>
      <c r="L6" s="22" t="s">
        <v>84</v>
      </c>
      <c r="M6" s="23" t="s">
        <v>115</v>
      </c>
      <c r="N6" s="23"/>
      <c r="O6" s="23"/>
    </row>
    <row r="7" spans="1:15">
      <c r="A7" s="21"/>
      <c r="B7" s="18" t="s">
        <v>80</v>
      </c>
      <c r="C7" s="24"/>
      <c r="D7" s="4">
        <v>2</v>
      </c>
      <c r="E7" s="4" t="s">
        <v>108</v>
      </c>
      <c r="F7" s="4" t="s">
        <v>108</v>
      </c>
      <c r="G7" s="4">
        <v>1</v>
      </c>
      <c r="H7" s="4" t="s">
        <v>108</v>
      </c>
      <c r="I7" s="4" t="s">
        <v>108</v>
      </c>
      <c r="J7" s="19">
        <f>SUM(D7:I7)</f>
        <v>0</v>
      </c>
      <c r="L7" s="22" t="s">
        <v>80</v>
      </c>
      <c r="M7" s="23" t="s">
        <v>116</v>
      </c>
      <c r="N7" s="23"/>
      <c r="O7" s="23"/>
    </row>
    <row r="8" spans="1:15">
      <c r="A8" s="21"/>
      <c r="B8" s="18" t="s">
        <v>104</v>
      </c>
      <c r="C8" s="24"/>
      <c r="D8" s="24"/>
      <c r="E8" s="4">
        <v>1</v>
      </c>
      <c r="F8" s="4" t="s">
        <v>108</v>
      </c>
      <c r="G8" s="4" t="s">
        <v>108</v>
      </c>
      <c r="H8" s="4" t="s">
        <v>108</v>
      </c>
      <c r="I8" s="4" t="s">
        <v>108</v>
      </c>
      <c r="J8" s="19">
        <f>SUM(E8:I8)</f>
        <v>0</v>
      </c>
      <c r="L8" s="22" t="s">
        <v>104</v>
      </c>
      <c r="M8" s="23" t="s">
        <v>117</v>
      </c>
      <c r="N8" s="23"/>
      <c r="O8" s="23"/>
    </row>
    <row r="9" spans="1:15">
      <c r="A9" s="21"/>
      <c r="B9" s="18" t="s">
        <v>105</v>
      </c>
      <c r="C9" s="24"/>
      <c r="D9" s="24"/>
      <c r="E9" s="24"/>
      <c r="F9" s="4">
        <v>1</v>
      </c>
      <c r="G9" s="4" t="s">
        <v>108</v>
      </c>
      <c r="H9" s="4" t="s">
        <v>108</v>
      </c>
      <c r="I9" s="4" t="s">
        <v>108</v>
      </c>
      <c r="J9" s="19">
        <f>SUM(F9:I9)</f>
        <v>0</v>
      </c>
      <c r="L9" s="22" t="s">
        <v>105</v>
      </c>
      <c r="M9" s="23" t="s">
        <v>118</v>
      </c>
      <c r="N9" s="23"/>
      <c r="O9" s="23"/>
    </row>
    <row r="10" spans="1:15">
      <c r="A10" s="21"/>
      <c r="B10" s="18" t="s">
        <v>28</v>
      </c>
      <c r="C10" s="24"/>
      <c r="D10" s="24"/>
      <c r="E10" s="24"/>
      <c r="F10" s="24"/>
      <c r="G10" s="4">
        <v>1</v>
      </c>
      <c r="H10" s="4">
        <v>2</v>
      </c>
      <c r="I10" s="4" t="s">
        <v>108</v>
      </c>
      <c r="J10" s="19">
        <f>SUM(G10:I10)</f>
        <v>0</v>
      </c>
      <c r="L10" s="22" t="s">
        <v>28</v>
      </c>
      <c r="M10" s="23" t="s">
        <v>119</v>
      </c>
      <c r="N10" s="23"/>
      <c r="O10" s="23"/>
    </row>
    <row r="11" spans="1:15">
      <c r="A11" s="21"/>
      <c r="B11" s="18" t="s">
        <v>27</v>
      </c>
      <c r="C11" s="24"/>
      <c r="D11" s="24"/>
      <c r="E11" s="24"/>
      <c r="F11" s="24"/>
      <c r="G11" s="24"/>
      <c r="H11" s="4">
        <v>1</v>
      </c>
      <c r="I11" s="4" t="s">
        <v>108</v>
      </c>
      <c r="J11" s="19">
        <f>SUM(H11:I11)</f>
        <v>0</v>
      </c>
      <c r="L11" s="22" t="s">
        <v>27</v>
      </c>
      <c r="M11" s="23" t="s">
        <v>120</v>
      </c>
      <c r="N11" s="23"/>
      <c r="O11" s="23"/>
    </row>
    <row r="12" spans="1:15">
      <c r="A12" s="21"/>
      <c r="B12" s="18" t="s">
        <v>82</v>
      </c>
      <c r="C12" s="24"/>
      <c r="D12" s="24"/>
      <c r="E12" s="24"/>
      <c r="F12" s="24"/>
      <c r="G12" s="24"/>
      <c r="H12" s="24"/>
      <c r="I12" s="4">
        <v>1</v>
      </c>
      <c r="J12" s="19">
        <f>IF(I12="-", 0, I12)</f>
        <v>0</v>
      </c>
      <c r="L12" s="22" t="s">
        <v>82</v>
      </c>
      <c r="M12" s="23" t="s">
        <v>121</v>
      </c>
      <c r="N12" s="23"/>
      <c r="O12" s="23"/>
    </row>
    <row r="13" spans="1:15" ht="30" customHeight="1">
      <c r="A13" s="25" t="s">
        <v>109</v>
      </c>
      <c r="B13" s="25"/>
      <c r="C13" s="19">
        <f>SUM(C6)</f>
        <v>0</v>
      </c>
      <c r="D13" s="19">
        <f>SUM(D6:D7)</f>
        <v>0</v>
      </c>
      <c r="E13" s="19">
        <f>SUM(E6:E8)</f>
        <v>0</v>
      </c>
      <c r="F13" s="19">
        <f>SUM(F6:F9)</f>
        <v>0</v>
      </c>
      <c r="G13" s="19">
        <f>SUM(G6:G10)</f>
        <v>0</v>
      </c>
      <c r="H13" s="19">
        <f>SUM(H6:H11)</f>
        <v>0</v>
      </c>
      <c r="I13" s="19">
        <f>SUM(I6:I12)</f>
        <v>0</v>
      </c>
      <c r="J13" s="26">
        <f>IF(SUM(J6:J12)=SUM(C13:I13), "Total = " &amp; SUM(J6:J12) &amp; " (Matching)", "Total = " &amp; SUM(J6:J12) &amp; " (Mismatch)")</f>
        <v>0</v>
      </c>
    </row>
    <row r="15" spans="1:15">
      <c r="D15" s="27">
        <f>IF(SUM(J6:J12)&gt;0, (SUM(C13:E13)/SUM(J6:J12))*100, 0)</f>
        <v>0</v>
      </c>
    </row>
    <row r="16" spans="1:15">
      <c r="D16" s="27">
        <f>IF(SUM(J6:J12)&gt;0, (SUM(F13:I13)/SUM(J6:J12))*100, 0)</f>
        <v>0</v>
      </c>
    </row>
    <row r="18" spans="4:4">
      <c r="D18" s="27">
        <f>IF(SUM(J6:J12)&gt;0, (SUM(C13:H13)/SUM(J6:J12))*100, 0)</f>
        <v>0</v>
      </c>
    </row>
    <row r="19" spans="4:4">
      <c r="D19" s="27">
        <f>IF(SUM(J6:J12)&gt;0, (I13/SUM(J6:J12))*100, 0)</f>
        <v>0</v>
      </c>
    </row>
    <row r="201" spans="6:10">
      <c r="F201" s="28" t="s">
        <v>110</v>
      </c>
      <c r="G201" s="29">
        <f>D15</f>
        <v>0</v>
      </c>
      <c r="I201" s="28" t="s">
        <v>111</v>
      </c>
      <c r="J201" s="29">
        <f>D18</f>
        <v>0</v>
      </c>
    </row>
    <row r="202" spans="6:10">
      <c r="F202" s="28" t="s">
        <v>103</v>
      </c>
      <c r="G202" s="29">
        <f>D16</f>
        <v>0</v>
      </c>
      <c r="I202" s="28" t="s">
        <v>112</v>
      </c>
      <c r="J202" s="29">
        <f>D19</f>
        <v>0</v>
      </c>
    </row>
  </sheetData>
  <mergeCells count="15">
    <mergeCell ref="A3:B5"/>
    <mergeCell ref="C3:I3"/>
    <mergeCell ref="C4:E4"/>
    <mergeCell ref="F4:I4"/>
    <mergeCell ref="J3:J5"/>
    <mergeCell ref="A6:A12"/>
    <mergeCell ref="A13:B13"/>
    <mergeCell ref="M5:O5"/>
    <mergeCell ref="M6:O6"/>
    <mergeCell ref="M7:O7"/>
    <mergeCell ref="M8:O8"/>
    <mergeCell ref="M9:O9"/>
    <mergeCell ref="M10:O10"/>
    <mergeCell ref="M11:O11"/>
    <mergeCell ref="M12:O12"/>
  </mergeCells>
  <conditionalFormatting sqref="J13">
    <cfRule type="expression" dxfId="0" priority="1">
      <formula>SUM(J6:J12)=SUM(C13:I13)</formula>
    </cfRule>
    <cfRule type="expression" dxfId="1" priority="2">
      <formula>SUM(J6:J12)&lt;&gt;SUM(C13:I13)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2:Z133"/>
  <sheetViews>
    <sheetView showGridLines="0" workbookViewId="0"/>
  </sheetViews>
  <sheetFormatPr defaultRowHeight="15"/>
  <sheetData>
    <row r="2" spans="1:26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>
      <c r="A100" s="31" t="s">
        <v>7</v>
      </c>
      <c r="B100" s="31" t="s">
        <v>122</v>
      </c>
      <c r="C100" s="30"/>
      <c r="D100" s="31" t="s">
        <v>3</v>
      </c>
      <c r="E100" s="31" t="s">
        <v>122</v>
      </c>
      <c r="F100" s="30"/>
      <c r="G100" s="31" t="s">
        <v>1</v>
      </c>
      <c r="H100" s="31" t="s">
        <v>122</v>
      </c>
      <c r="I100" s="30"/>
      <c r="J100" s="31" t="s">
        <v>6</v>
      </c>
      <c r="K100" s="31" t="s">
        <v>122</v>
      </c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>
      <c r="A101" t="s">
        <v>50</v>
      </c>
      <c r="B101">
        <v>1</v>
      </c>
      <c r="C101" s="30"/>
      <c r="D101" t="s">
        <v>42</v>
      </c>
      <c r="E101">
        <v>5</v>
      </c>
      <c r="F101" s="30"/>
      <c r="G101" t="s">
        <v>27</v>
      </c>
      <c r="H101">
        <v>5</v>
      </c>
      <c r="I101" s="30"/>
      <c r="J101" t="s">
        <v>48</v>
      </c>
      <c r="K101">
        <v>6</v>
      </c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>
      <c r="A102" t="s">
        <v>54</v>
      </c>
      <c r="B102">
        <v>3</v>
      </c>
      <c r="D102" t="s">
        <v>43</v>
      </c>
      <c r="E102">
        <v>3</v>
      </c>
      <c r="G102" t="s">
        <v>28</v>
      </c>
      <c r="H102">
        <v>5</v>
      </c>
      <c r="J102" t="s">
        <v>47</v>
      </c>
      <c r="K102">
        <v>4</v>
      </c>
    </row>
    <row r="103" spans="1:26">
      <c r="A103" t="s">
        <v>51</v>
      </c>
      <c r="B103">
        <v>1</v>
      </c>
      <c r="D103" t="s">
        <v>41</v>
      </c>
      <c r="E103">
        <v>2</v>
      </c>
      <c r="G103" t="s">
        <v>29</v>
      </c>
      <c r="H103">
        <v>2</v>
      </c>
      <c r="J103" t="s">
        <v>49</v>
      </c>
      <c r="K103">
        <v>2</v>
      </c>
    </row>
    <row r="104" spans="1:26">
      <c r="A104" t="s">
        <v>52</v>
      </c>
      <c r="B104">
        <v>4</v>
      </c>
      <c r="D104" t="s">
        <v>44</v>
      </c>
      <c r="E104">
        <v>1</v>
      </c>
    </row>
    <row r="105" spans="1:26">
      <c r="A105" t="s">
        <v>53</v>
      </c>
      <c r="B105">
        <v>3</v>
      </c>
      <c r="D105" t="s">
        <v>45</v>
      </c>
      <c r="E105">
        <v>1</v>
      </c>
    </row>
    <row r="121" spans="18:19">
      <c r="R121" t="s">
        <v>123</v>
      </c>
      <c r="S121">
        <v>0.7</v>
      </c>
    </row>
    <row r="122" spans="18:19">
      <c r="R122" t="s">
        <v>124</v>
      </c>
      <c r="S122">
        <v>18.8</v>
      </c>
    </row>
    <row r="123" spans="18:19">
      <c r="R123" t="s">
        <v>125</v>
      </c>
      <c r="S123">
        <v>12.8</v>
      </c>
    </row>
    <row r="131" spans="21:22">
      <c r="U131" t="s">
        <v>126</v>
      </c>
      <c r="V131">
        <v>3</v>
      </c>
    </row>
    <row r="132" spans="21:22">
      <c r="U132" t="s">
        <v>127</v>
      </c>
      <c r="V132">
        <v>9</v>
      </c>
    </row>
    <row r="133" spans="21:22">
      <c r="U133" t="s">
        <v>128</v>
      </c>
      <c r="V133">
        <v>12</v>
      </c>
    </row>
  </sheetData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Jira Report</vt:lpstr>
      <vt:lpstr>QA Report</vt:lpstr>
      <vt:lpstr>Metrics Board</vt:lpstr>
      <vt:lpstr>Visual 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2026-01-16T07:55:13Z</dcterms:created>
  <dcterms:modified xsi:type="dcterms:W3CDTF">2026-01-16T07:55:13Z</dcterms:modified>
</cp:coreProperties>
</file>